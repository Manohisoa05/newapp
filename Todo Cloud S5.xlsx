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groupe" sheetId="1" state="visible" r:id="rId1"/>
    <sheet name="liste des taches" sheetId="2" state="visible" r:id="rId2"/>
    <sheet name="Recap" sheetId="3" state="visible" r:id="rId3"/>
    <sheet name="avancement" sheetId="4" state="visible" r:id="rId4"/>
    <sheet name="detail_avancement" sheetId="5" state="visible" r:id="rId5"/>
  </sheets>
  <definedNames/>
  <calcPr calcId="191029" fullCalcOnLoad="1"/>
  <pivotCaches>
    <pivotCache cacheId="4" r:id="rId6"/>
  </pivotCaches>
</workbook>
</file>

<file path=xl/styles.xml><?xml version="1.0" encoding="utf-8"?>
<styleSheet xmlns="http://schemas.openxmlformats.org/spreadsheetml/2006/main">
  <numFmts count="1">
    <numFmt numFmtId="164" formatCode="d/m"/>
  </numFmts>
  <fonts count="13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rgb="FF000000"/>
      <sz val="11"/>
    </font>
    <font>
      <name val="Liberation Serif"/>
      <b val="1"/>
      <color rgb="FF000000"/>
      <sz val="11"/>
    </font>
    <font>
      <name val="Arial"/>
      <color theme="1"/>
      <sz val="10"/>
      <scheme val="minor"/>
    </font>
    <font>
      <name val="Arial"/>
      <color theme="1"/>
      <sz val="10"/>
    </font>
    <font>
      <name val="Liberation Serif"/>
      <color theme="1"/>
      <sz val="10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ptos Narrow"/>
      <b val="1"/>
      <color theme="1"/>
      <sz val="12"/>
    </font>
    <font>
      <name val="Aptos Narrow"/>
      <color theme="1"/>
      <sz val="12"/>
    </font>
    <font>
      <name val="Arial"/>
      <b val="1"/>
      <color theme="1"/>
      <sz val="12"/>
    </font>
    <font>
      <name val="Arial"/>
      <color theme="1"/>
      <sz val="12"/>
    </font>
  </fonts>
  <fills count="5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2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10" fontId="8" fillId="3" borderId="0" pivotButton="0" quotePrefix="0" xfId="0"/>
    <xf numFmtId="0" fontId="9" fillId="4" borderId="2" pivotButton="0" quotePrefix="0" xfId="0"/>
    <xf numFmtId="0" fontId="10" fillId="0" borderId="0" applyAlignment="1" pivotButton="0" quotePrefix="0" xfId="0">
      <alignment horizontal="right"/>
    </xf>
    <xf numFmtId="10" fontId="10" fillId="0" borderId="0" applyAlignment="1" pivotButton="0" quotePrefix="0" xfId="0">
      <alignment horizontal="right"/>
    </xf>
    <xf numFmtId="9" fontId="10" fillId="0" borderId="0" applyAlignment="1" pivotButton="0" quotePrefix="0" xfId="0">
      <alignment horizontal="right"/>
    </xf>
    <xf numFmtId="0" fontId="10" fillId="0" borderId="0" pivotButton="0" quotePrefix="0" xfId="0"/>
    <xf numFmtId="0" fontId="11" fillId="4" borderId="0" pivotButton="0" quotePrefix="0" xfId="0"/>
    <xf numFmtId="0" fontId="11" fillId="0" borderId="0" pivotButton="0" quotePrefix="0" xfId="0"/>
    <xf numFmtId="164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12" fillId="0" borderId="0" pivotButton="0" quotePrefix="0" xfId="0"/>
    <xf numFmtId="0" fontId="0" fillId="0" borderId="3" pivotButton="0" quotePrefix="0" xfId="0"/>
    <xf numFmtId="0" fontId="0" fillId="0" borderId="3" pivotButton="1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pivotCacheDefinition" Target="/xl/pivotCache/pivotCacheDefinition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Faly RABEKOTO" refreshedDate="46154.36648981481" refreshedVersion="8" recordCount="20" r:id="rId1">
  <cacheSource type="worksheet">
    <worksheetSource ref="B1:K993" sheet="liste des taches"/>
  </cacheSource>
  <cacheFields count="10">
    <cacheField name="Catégorie" uniqueList="1" numFmtId="0" sqlType="0" hierarchy="0" level="0" databaseField="1">
      <sharedItems count="0" containsBlank="1"/>
    </cacheField>
    <cacheField name="Module" uniqueList="1" numFmtId="0" sqlType="0" hierarchy="0" level="0" databaseField="1">
      <sharedItems count="0" containsBlank="1"/>
    </cacheField>
    <cacheField name="Page" uniqueList="1" numFmtId="0" sqlType="0" hierarchy="0" level="0" databaseField="1">
      <sharedItems count="0" containsBlank="1"/>
    </cacheField>
    <cacheField name="Description tâche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0" containsBlank="1"/>
    </cacheField>
    <cacheField name="Qui" uniqueList="1" numFmtId="0" sqlType="0" hierarchy="0" level="0" databaseField="1">
      <sharedItems count="6" containsBlank="1" containsInteger="1" containsMixedTypes="1" containsNumber="1" minValue="3171" maxValue="3171">
        <n v="3171"/>
        <m/>
        <s v="ETU00YYYY" u="1"/>
        <s v="ETU00XXXX" u="1"/>
        <s v="ETU00ZZZZ" u="1"/>
        <s v="ETU00WWWW" u="1"/>
      </sharedItems>
    </cacheField>
    <cacheField name="Estimation" uniqueList="1" numFmtId="0" sqlType="0" hierarchy="0" level="0" databaseField="1">
      <sharedItems count="0" containsBlank="1" containsInteger="1" containsNumber="1" containsString="0" minValue="15" maxValue="40"/>
    </cacheField>
    <cacheField name="Temps passé" uniqueList="1" numFmtId="0" sqlType="0" hierarchy="0" level="0" databaseField="1">
      <sharedItems count="0" containsBlank="1" containsInteger="1" containsNumber="1" containsString="0" minValue="0" maxValue="40"/>
    </cacheField>
    <cacheField name="Reste à faire" uniqueList="1" numFmtId="0" sqlType="0" hierarchy="0" level="0" databaseField="1">
      <sharedItems count="0" containsBlank="1" containsInteger="1" containsNumber="1" containsString="0" minValue="0" maxValue="20"/>
    </cacheField>
    <cacheField name="Avancement" uniqueList="1" numFmtId="0" sqlType="0" hierarchy="0" level="0" databaseField="1">
      <sharedItems count="0" containsBlank="1" containsInteger="1" containsNumber="1" containsString="0" minValue="0" maxValue="1"/>
    </cacheField>
  </cacheFields>
</pivotCacheDefinition>
</file>

<file path=xl/pivotCache/pivotCacheRecords1.xml><?xml version="1.0" encoding="utf-8"?>
<pivotCacheRecords xmlns="http://schemas.openxmlformats.org/spreadsheetml/2006/main" count="20">
  <r>
    <s v="Backoffice"/>
    <s v="Auth"/>
    <s v="Login"/>
    <s v="Formulaire + valeurs par defaut"/>
    <s v="Integration"/>
    <x v="0"/>
    <n v="30"/>
    <n v="30"/>
    <n v="0"/>
    <n v="1"/>
  </r>
  <r>
    <s v="Backoffice"/>
    <s v="Auth"/>
    <s v="Routes"/>
    <s v="Protection pages backoffice"/>
    <s v="Integration"/>
    <x v="0"/>
    <n v="20"/>
    <n v="20"/>
    <n v="0"/>
    <n v="1"/>
  </r>
  <r>
    <s v="Backoffice"/>
    <s v="Reset"/>
    <s v="Reset"/>
    <s v="Reinitialisation via API + logs"/>
    <s v="Metier"/>
    <x v="0"/>
    <n v="20"/>
    <n v="20"/>
    <n v="0"/>
    <n v="1"/>
  </r>
  <r>
    <s v="Backoffice"/>
    <s v="Import"/>
    <s v="Import"/>
    <s v="CSV + ZIP + images + XML"/>
    <s v="Integration"/>
    <x v="0"/>
    <n v="40"/>
    <n v="40"/>
    <n v="0"/>
    <n v="1"/>
  </r>
  <r>
    <s v="Backoffice"/>
    <s v="Commandes"/>
    <s v="Orders"/>
    <s v="Changer etat commandes (3 etats)"/>
    <s v="Integration"/>
    <x v="0"/>
    <n v="20"/>
    <n v="20"/>
    <n v="0"/>
    <n v="1"/>
  </r>
  <r>
    <s v="Frontoffice"/>
    <s v="Catalogue"/>
    <s v="Home"/>
    <s v="Liste produits complete"/>
    <s v="Affichage"/>
    <x v="0"/>
    <n v="30"/>
    <n v="30"/>
    <n v="0"/>
    <n v="1"/>
  </r>
  <r>
    <s v="Frontoffice"/>
    <s v="Produit"/>
    <s v="Fiche"/>
    <s v="Fiche produit complete"/>
    <s v="Affichage"/>
    <x v="0"/>
    <n v="30"/>
    <n v="30"/>
    <n v="0"/>
    <n v="1"/>
  </r>
  <r>
    <s v="Frontoffice"/>
    <s v="Panier"/>
    <s v="Cart"/>
    <s v="Gestion panier (ajout, quantite)"/>
    <s v="Metier"/>
    <x v="0"/>
    <n v="30"/>
    <n v="30"/>
    <n v="0"/>
    <n v="1"/>
  </r>
  <r>
    <s v="Frontoffice"/>
    <s v="Checkout"/>
    <s v="Validation"/>
    <s v="Paiement a la livraison + livraison gratuite"/>
    <s v="Integration"/>
    <x v="0"/>
    <n v="30"/>
    <n v="30"/>
    <n v="0"/>
    <n v="1"/>
  </r>
  <r>
    <s v="Frontoffice"/>
    <s v="Commandes"/>
    <s v="Mes commandes"/>
    <s v="Suivi commandes par email"/>
    <s v="Affichage"/>
    <x v="0"/>
    <n v="20"/>
    <n v="20"/>
    <n v="0"/>
    <n v="1"/>
  </r>
  <r>
    <s v="ExistingApp"/>
    <s v="Verification"/>
    <s v="BO"/>
    <s v="Donnees visibles + impact NewApp"/>
    <s v="Validation"/>
    <x v="0"/>
    <n v="15"/>
    <n v="15"/>
    <n v="0"/>
    <n v="1"/>
  </r>
  <r>
    <s v="Import"/>
    <s v="Taxes"/>
    <s v="Import"/>
    <s v="Verifier prix/taxes import"/>
    <s v="Metier"/>
    <x v="0"/>
    <n v="20"/>
    <n v="0"/>
    <n v="20"/>
    <n v="0"/>
  </r>
  <r>
    <m/>
    <m/>
    <m/>
    <m/>
    <m/>
    <x v="1"/>
    <m/>
    <m/>
    <m/>
    <m/>
  </r>
  <r>
    <m/>
    <m/>
    <m/>
    <m/>
    <m/>
    <x v="1"/>
    <m/>
    <m/>
    <m/>
    <m/>
  </r>
  <r>
    <m/>
    <m/>
    <m/>
    <m/>
    <m/>
    <x v="1"/>
    <m/>
    <m/>
    <m/>
    <m/>
  </r>
  <r>
    <m/>
    <m/>
    <m/>
    <m/>
    <m/>
    <x v="1"/>
    <m/>
    <m/>
    <m/>
    <m/>
  </r>
  <r>
    <m/>
    <m/>
    <m/>
    <m/>
    <m/>
    <x v="1"/>
    <m/>
    <m/>
    <m/>
    <m/>
  </r>
  <r>
    <m/>
    <m/>
    <m/>
    <m/>
    <m/>
    <x v="1"/>
    <m/>
    <m/>
    <m/>
    <m/>
  </r>
  <r>
    <m/>
    <m/>
    <m/>
    <m/>
    <m/>
    <x v="1"/>
    <m/>
    <m/>
    <m/>
    <m/>
  </r>
  <r>
    <m/>
    <m/>
    <m/>
    <m/>
    <m/>
    <x v="1"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Recap" cacheId="4" dataOnRows="0" dataCaption="" showError="0" showMissing="1" updatedVersion="8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D5" firstHeaderRow="1" firstDataRow="2" firstDataCol="1"/>
  <pivotFields count="10">
    <pivotField name="Catégorie" showDropDowns="1" compact="0" outline="0" subtotalTop="1" dragToRow="1" dragToCol="1" multipleItemSelectionAllowed="1" dragToPage="1" dragToData="1" dragOff="1" showAll="0" topAutoShow="1" itemPageCount="10" sortType="manual" defaultSubtotal="1"/>
    <pivotField name="Module" showDropDowns="1" compact="0" outline="0" subtotalTop="1" dragToRow="1" dragToCol="1" multipleItemSelectionAllowed="1" dragToPage="1" dragToData="1" dragOff="1" showAll="0" topAutoShow="1" itemPageCount="10" sortType="manual" defaultSubtotal="1"/>
    <pivotField name="Page" showDropDowns="1" compact="0" outline="0" subtotalTop="1" dragToRow="1" dragToCol="1" multipleItemSelectionAllowed="1" dragToPage="1" dragToData="1" dragOff="1" showAll="0" topAutoShow="1" itemPageCount="10" sortType="manual" defaultSubtotal="1"/>
    <pivotField name="Description tâche" showDropDowns="1" compact="0" outline="0" subtotalTop="1" dragToRow="1" dragToCol="1" multipleItemSelectionAllowed="1" dragToPage="1" dragToData="1" dragOff="1" showAll="0" topAutoShow="1" itemPageCount="10" sortType="manual" defaultSubtotal="1"/>
    <pivotField name="Type" showDropDowns="1" compact="0" outline="0" subtotalTop="1" dragToRow="1" dragToCol="1" multipleItemSelectionAllowed="1" dragToPage="1" dragToData="1" dragOff="1" showAll="0" topAutoShow="1" itemPageCount="10" sortType="manual" defaultSubtotal="1"/>
    <pivotField name="Qui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7">
        <item t="data" sd="1" x="0"/>
        <item t="data" sd="1" m="1" x="5"/>
        <item t="data" sd="1" m="1" x="3"/>
        <item t="data" sd="1" m="1" x="2"/>
        <item t="data" sd="1" m="1" x="4"/>
        <item t="data" sd="1" x="1"/>
        <item t="default" sd="1"/>
      </items>
    </pivotField>
    <pivotField name="Estimation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Temps passé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Reste à faire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Avancement" showDropDowns="1" compact="0" numFmtId="10" outline="0" subtotalTop="1" dragToRow="1" dragToCol="1" multipleItemSelectionAllowed="1" dragToPage="1" dragToData="1" dragOff="1" showAll="0" topAutoShow="1" itemPageCount="10" sortType="manual" defaultSubtotal="1"/>
  </pivotFields>
  <rowFields count="1">
    <field x="5"/>
  </rowFields>
  <rowItems count="3">
    <i t="data" r="0" i="0">
      <x v="0"/>
    </i>
    <i t="data" r="0" i="0">
      <x v="5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Estimation" fld="6" subtotal="sum" showDataAs="normal" baseField="0" baseItem="1048832"/>
    <dataField name="SUM of Temps passé" fld="7" subtotal="sum" showDataAs="normal" baseField="0" baseItem="1048832"/>
    <dataField name="SUM of Reste à faire" fld="8" subtotal="sum" showDataAs="normal" baseField="0" baseItem="1048832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1" t="n">
        <v>3171</v>
      </c>
      <c r="B1" s="1" t="n">
        <v>3171</v>
      </c>
    </row>
    <row r="2">
      <c r="A2" s="1" t="n"/>
      <c r="B2" s="1" t="n"/>
    </row>
    <row r="3">
      <c r="A3" s="1" t="n"/>
      <c r="B3" s="1" t="n"/>
    </row>
    <row r="4">
      <c r="A4" s="1" t="n"/>
      <c r="B4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25"/>
  <sheetViews>
    <sheetView tabSelected="1" workbookViewId="0">
      <selection activeCell="A1" sqref="A1"/>
    </sheetView>
  </sheetViews>
  <sheetFormatPr baseColWidth="10" defaultColWidth="12.6640625" defaultRowHeight="15.75" customHeight="1"/>
  <cols>
    <col width="5.88671875" customWidth="1" min="1" max="1"/>
    <col width="19" customWidth="1" min="2" max="2"/>
    <col width="18" customWidth="1" min="3" max="3"/>
    <col width="16.33203125" customWidth="1" min="5" max="5"/>
  </cols>
  <sheetData>
    <row r="1">
      <c r="A1" s="2" t="inlineStr">
        <is>
          <t>Ligne</t>
        </is>
      </c>
      <c r="B1" s="3" t="inlineStr">
        <is>
          <t>Catégorie</t>
        </is>
      </c>
      <c r="C1" s="3" t="inlineStr">
        <is>
          <t>Module</t>
        </is>
      </c>
      <c r="D1" s="3" t="inlineStr">
        <is>
          <t>Page</t>
        </is>
      </c>
      <c r="E1" s="3" t="inlineStr">
        <is>
          <t>Description tâche</t>
        </is>
      </c>
      <c r="F1" s="4" t="inlineStr">
        <is>
          <t>Type</t>
        </is>
      </c>
      <c r="G1" s="4" t="inlineStr">
        <is>
          <t>Qui</t>
        </is>
      </c>
      <c r="H1" s="4" t="inlineStr">
        <is>
          <t>Estimation</t>
        </is>
      </c>
      <c r="I1" s="4" t="inlineStr">
        <is>
          <t>Temps passé</t>
        </is>
      </c>
      <c r="J1" s="4" t="inlineStr">
        <is>
          <t>Reste à faire</t>
        </is>
      </c>
      <c r="K1" s="4" t="inlineStr">
        <is>
          <t>Avancement</t>
        </is>
      </c>
    </row>
    <row r="2">
      <c r="A2" s="5" t="n">
        <v>1</v>
      </c>
      <c r="B2" s="5" t="inlineStr">
        <is>
          <t>Backoffice</t>
        </is>
      </c>
      <c r="C2" s="6" t="inlineStr">
        <is>
          <t>Auth</t>
        </is>
      </c>
      <c r="D2" s="6" t="inlineStr">
        <is>
          <t>Login</t>
        </is>
      </c>
      <c r="E2" s="7" t="inlineStr">
        <is>
          <t>Formulaire + valeurs par defaut</t>
        </is>
      </c>
      <c r="F2" s="7" t="inlineStr">
        <is>
          <t>Integration</t>
        </is>
      </c>
      <c r="G2" s="6" t="n">
        <v>3171</v>
      </c>
      <c r="H2" s="6" t="n">
        <v>30</v>
      </c>
      <c r="I2" s="8">
        <f>detail_avancement!B2</f>
        <v/>
      </c>
      <c r="J2" s="8">
        <f>H2-I2</f>
        <v/>
      </c>
      <c r="K2" s="9">
        <f>(I2/(I2+J2))</f>
        <v/>
      </c>
    </row>
    <row r="3">
      <c r="A3" s="5" t="n">
        <v>2</v>
      </c>
      <c r="B3" s="5" t="inlineStr">
        <is>
          <t>Backoffice</t>
        </is>
      </c>
      <c r="C3" s="7" t="inlineStr">
        <is>
          <t>Auth</t>
        </is>
      </c>
      <c r="D3" s="6" t="inlineStr">
        <is>
          <t>Routes</t>
        </is>
      </c>
      <c r="E3" s="7" t="inlineStr">
        <is>
          <t>Protection pages backoffice</t>
        </is>
      </c>
      <c r="F3" s="7" t="inlineStr">
        <is>
          <t>Integration</t>
        </is>
      </c>
      <c r="G3" s="6" t="n">
        <v>3171</v>
      </c>
      <c r="H3" s="6" t="n">
        <v>20</v>
      </c>
      <c r="I3" s="8">
        <f>detail_avancement!B3</f>
        <v/>
      </c>
      <c r="J3" s="8">
        <f>H3-I3</f>
        <v/>
      </c>
      <c r="K3" s="9">
        <f>(I3/(I3+J3))</f>
        <v/>
      </c>
    </row>
    <row r="4">
      <c r="A4" s="5" t="n">
        <v>3</v>
      </c>
      <c r="B4" s="5" t="inlineStr">
        <is>
          <t>Backoffice</t>
        </is>
      </c>
      <c r="C4" s="7" t="inlineStr">
        <is>
          <t>Reset</t>
        </is>
      </c>
      <c r="D4" s="6" t="inlineStr">
        <is>
          <t>Reset</t>
        </is>
      </c>
      <c r="E4" s="7" t="inlineStr">
        <is>
          <t>Reinitialisation via API + logs</t>
        </is>
      </c>
      <c r="F4" s="7" t="inlineStr">
        <is>
          <t>Metier</t>
        </is>
      </c>
      <c r="G4" s="6" t="n">
        <v>3171</v>
      </c>
      <c r="H4" s="6" t="n">
        <v>20</v>
      </c>
      <c r="I4" s="8">
        <f>detail_avancement!B4</f>
        <v/>
      </c>
      <c r="J4" s="8">
        <f>H4-I4</f>
        <v/>
      </c>
      <c r="K4" s="9">
        <f>(I4/(I4+J4))</f>
        <v/>
      </c>
    </row>
    <row r="5">
      <c r="A5" s="5" t="n">
        <v>4</v>
      </c>
      <c r="B5" s="5" t="inlineStr">
        <is>
          <t>Backoffice</t>
        </is>
      </c>
      <c r="C5" s="7" t="inlineStr">
        <is>
          <t>Import</t>
        </is>
      </c>
      <c r="D5" s="6" t="inlineStr">
        <is>
          <t>Import</t>
        </is>
      </c>
      <c r="E5" s="7" t="inlineStr">
        <is>
          <t>CSV + ZIP + images + XML</t>
        </is>
      </c>
      <c r="F5" s="7" t="inlineStr">
        <is>
          <t>Integration</t>
        </is>
      </c>
      <c r="G5" s="6" t="n">
        <v>3171</v>
      </c>
      <c r="H5" s="6" t="n">
        <v>40</v>
      </c>
      <c r="I5" s="8">
        <f>detail_avancement!B5</f>
        <v/>
      </c>
      <c r="J5" s="8">
        <f>H5-I5</f>
        <v/>
      </c>
      <c r="K5" s="9">
        <f>(I5/(I5+J5))</f>
        <v/>
      </c>
    </row>
    <row r="6">
      <c r="A6" s="5" t="n">
        <v>5</v>
      </c>
      <c r="B6" s="5" t="inlineStr">
        <is>
          <t>Backoffice</t>
        </is>
      </c>
      <c r="C6" s="7" t="inlineStr">
        <is>
          <t>Commandes</t>
        </is>
      </c>
      <c r="D6" s="6" t="inlineStr">
        <is>
          <t>Orders</t>
        </is>
      </c>
      <c r="E6" s="7" t="inlineStr">
        <is>
          <t>Changer etat commandes (3 etats)</t>
        </is>
      </c>
      <c r="F6" s="7" t="inlineStr">
        <is>
          <t>Integration</t>
        </is>
      </c>
      <c r="G6" s="6" t="n">
        <v>3171</v>
      </c>
      <c r="H6" s="6" t="n">
        <v>20</v>
      </c>
      <c r="I6" s="8">
        <f>detail_avancement!B6</f>
        <v/>
      </c>
      <c r="J6" s="8">
        <f>H6-I6</f>
        <v/>
      </c>
      <c r="K6" s="9">
        <f>(I6/(I6+J6))</f>
        <v/>
      </c>
    </row>
    <row r="7">
      <c r="A7" s="5" t="n">
        <v>6</v>
      </c>
      <c r="B7" s="5" t="inlineStr">
        <is>
          <t>Frontoffice</t>
        </is>
      </c>
      <c r="C7" s="7" t="inlineStr">
        <is>
          <t>Catalogue</t>
        </is>
      </c>
      <c r="D7" s="6" t="inlineStr">
        <is>
          <t>Home</t>
        </is>
      </c>
      <c r="E7" s="7" t="inlineStr">
        <is>
          <t>Liste produits complete</t>
        </is>
      </c>
      <c r="F7" s="7" t="inlineStr">
        <is>
          <t>Affichage</t>
        </is>
      </c>
      <c r="G7" s="6" t="n">
        <v>3171</v>
      </c>
      <c r="H7" s="6" t="n">
        <v>30</v>
      </c>
      <c r="I7" s="8">
        <f>detail_avancement!B7</f>
        <v/>
      </c>
      <c r="J7" s="8">
        <f>H7-I7</f>
        <v/>
      </c>
      <c r="K7" s="9">
        <f>(I7/(I7+J7))</f>
        <v/>
      </c>
    </row>
    <row r="8">
      <c r="A8" s="5" t="n">
        <v>7</v>
      </c>
      <c r="B8" s="5" t="inlineStr">
        <is>
          <t>Frontoffice</t>
        </is>
      </c>
      <c r="C8" s="7" t="inlineStr">
        <is>
          <t>Produit</t>
        </is>
      </c>
      <c r="D8" s="6" t="inlineStr">
        <is>
          <t>Fiche</t>
        </is>
      </c>
      <c r="E8" s="7" t="inlineStr">
        <is>
          <t>Fiche produit complete</t>
        </is>
      </c>
      <c r="F8" s="7" t="inlineStr">
        <is>
          <t>Affichage</t>
        </is>
      </c>
      <c r="G8" s="6" t="n">
        <v>3171</v>
      </c>
      <c r="H8" s="6" t="n">
        <v>30</v>
      </c>
      <c r="I8" s="8">
        <f>detail_avancement!B8</f>
        <v/>
      </c>
      <c r="J8" s="8">
        <f>H8-I8</f>
        <v/>
      </c>
      <c r="K8" s="9">
        <f>(I8/(I8+J8))</f>
        <v/>
      </c>
    </row>
    <row r="9">
      <c r="A9" s="5" t="n">
        <v>8</v>
      </c>
      <c r="B9" s="5" t="inlineStr">
        <is>
          <t>Frontoffice</t>
        </is>
      </c>
      <c r="C9" s="7" t="inlineStr">
        <is>
          <t>Panier</t>
        </is>
      </c>
      <c r="D9" s="6" t="inlineStr">
        <is>
          <t>Cart</t>
        </is>
      </c>
      <c r="E9" s="7" t="inlineStr">
        <is>
          <t>Gestion panier (ajout, quantite)</t>
        </is>
      </c>
      <c r="F9" s="7" t="inlineStr">
        <is>
          <t>Metier</t>
        </is>
      </c>
      <c r="G9" s="6" t="n">
        <v>3171</v>
      </c>
      <c r="H9" s="6" t="n">
        <v>30</v>
      </c>
      <c r="I9" s="8">
        <f>detail_avancement!B9</f>
        <v/>
      </c>
      <c r="J9" s="8">
        <f>H9-I9</f>
        <v/>
      </c>
      <c r="K9" s="9">
        <f>(I9/(I9+J9))</f>
        <v/>
      </c>
    </row>
    <row r="10">
      <c r="A10" s="5" t="n">
        <v>9</v>
      </c>
      <c r="B10" s="5" t="inlineStr">
        <is>
          <t>Frontoffice</t>
        </is>
      </c>
      <c r="C10" s="7" t="inlineStr">
        <is>
          <t>Checkout</t>
        </is>
      </c>
      <c r="D10" s="6" t="inlineStr">
        <is>
          <t>Validation</t>
        </is>
      </c>
      <c r="E10" s="7" t="inlineStr">
        <is>
          <t>Paiement a la livraison + livraison gratuite</t>
        </is>
      </c>
      <c r="F10" s="6" t="inlineStr">
        <is>
          <t>Integration</t>
        </is>
      </c>
      <c r="G10" s="6" t="n">
        <v>3171</v>
      </c>
      <c r="H10" s="6" t="n">
        <v>30</v>
      </c>
      <c r="I10" s="8">
        <f>detail_avancement!B10</f>
        <v/>
      </c>
      <c r="J10" s="8">
        <f>H10-I10</f>
        <v/>
      </c>
      <c r="K10" s="9">
        <f>(I10/(I10+J10))</f>
        <v/>
      </c>
    </row>
    <row r="11">
      <c r="A11" s="10" t="n">
        <v>10</v>
      </c>
      <c r="B11" s="10" t="inlineStr">
        <is>
          <t>Frontoffice</t>
        </is>
      </c>
      <c r="C11" s="10" t="inlineStr">
        <is>
          <t>Commandes</t>
        </is>
      </c>
      <c r="D11" s="10" t="inlineStr">
        <is>
          <t>Mes commandes</t>
        </is>
      </c>
      <c r="E11" s="10" t="inlineStr">
        <is>
          <t>Suivi commandes par email</t>
        </is>
      </c>
      <c r="F11" s="10" t="inlineStr">
        <is>
          <t>Affichage</t>
        </is>
      </c>
      <c r="G11" s="10" t="n">
        <v>3171</v>
      </c>
      <c r="H11" s="10" t="n">
        <v>20</v>
      </c>
      <c r="I11" s="10">
        <f>detail_avancement!B11</f>
        <v/>
      </c>
      <c r="J11" s="10">
        <f>H11-I11</f>
        <v/>
      </c>
      <c r="K11" s="10">
        <f>(I11/(I11+J11))</f>
        <v/>
      </c>
    </row>
    <row r="12">
      <c r="A12" s="10" t="n">
        <v>11</v>
      </c>
      <c r="B12" s="10" t="inlineStr">
        <is>
          <t>ExistingApp</t>
        </is>
      </c>
      <c r="C12" s="10" t="inlineStr">
        <is>
          <t>Verification</t>
        </is>
      </c>
      <c r="D12" s="10" t="inlineStr">
        <is>
          <t>BO</t>
        </is>
      </c>
      <c r="E12" s="10" t="inlineStr">
        <is>
          <t>Donnees visibles + impact NewApp</t>
        </is>
      </c>
      <c r="F12" s="10" t="inlineStr">
        <is>
          <t>Validation</t>
        </is>
      </c>
      <c r="G12" s="10" t="n">
        <v>3171</v>
      </c>
      <c r="H12" s="10" t="n">
        <v>15</v>
      </c>
      <c r="I12" s="10">
        <f>detail_avancement!B12</f>
        <v/>
      </c>
      <c r="J12" s="10">
        <f>H12-I12</f>
        <v/>
      </c>
      <c r="K12" s="10">
        <f>(I12/(I12+J12))</f>
        <v/>
      </c>
    </row>
    <row r="13">
      <c r="A13" s="10" t="n">
        <v>12</v>
      </c>
      <c r="B13" s="10" t="inlineStr">
        <is>
          <t>Import</t>
        </is>
      </c>
      <c r="C13" s="10" t="inlineStr">
        <is>
          <t>Taxes</t>
        </is>
      </c>
      <c r="D13" s="10" t="inlineStr">
        <is>
          <t>Import</t>
        </is>
      </c>
      <c r="E13" s="10" t="inlineStr">
        <is>
          <t>Verifier prix/taxes import</t>
        </is>
      </c>
      <c r="F13" s="10" t="inlineStr">
        <is>
          <t>Metier</t>
        </is>
      </c>
      <c r="G13" s="10" t="n">
        <v>3171</v>
      </c>
      <c r="H13" s="10" t="n">
        <v>20</v>
      </c>
      <c r="I13" s="10">
        <f>detail_avancement!B13</f>
        <v/>
      </c>
      <c r="J13" s="10">
        <f>H13-I13</f>
        <v/>
      </c>
      <c r="K13" s="10">
        <f>(I13/(I13+J13))</f>
        <v/>
      </c>
    </row>
    <row r="14">
      <c r="A14" s="10" t="n">
        <v>13</v>
      </c>
      <c r="B14" s="10" t="inlineStr">
        <is>
          <t>Auth</t>
        </is>
      </c>
      <c r="C14" s="10" t="inlineStr">
        <is>
          <t>Login</t>
        </is>
      </c>
      <c r="D14" s="10" t="inlineStr">
        <is>
          <t>BO/FO</t>
        </is>
      </c>
      <c r="E14" s="10" t="inlineStr">
        <is>
          <t>Login email+mdp via API employees/customers</t>
        </is>
      </c>
      <c r="F14" s="10" t="inlineStr">
        <is>
          <t>Integration</t>
        </is>
      </c>
      <c r="G14" s="10" t="n">
        <v>3171</v>
      </c>
      <c r="H14" s="10" t="n">
        <v>20</v>
      </c>
      <c r="I14" s="10">
        <f>detail_avancement!B14</f>
        <v/>
      </c>
      <c r="J14" s="10">
        <f>H14-I14</f>
        <v/>
      </c>
      <c r="K14" s="10">
        <f>(I14/(I14+J14))</f>
        <v/>
      </c>
    </row>
    <row r="15">
      <c r="A15" s="10" t="n">
        <v>14</v>
      </c>
      <c r="B15" s="10" t="inlineStr">
        <is>
          <t>Backoffice</t>
        </is>
      </c>
      <c r="C15" s="10" t="inlineStr">
        <is>
          <t>Import</t>
        </is>
      </c>
      <c r="D15" s="10" t="inlineStr">
        <is>
          <t>Import</t>
        </is>
      </c>
      <c r="E15" s="10" t="inlineStr">
        <is>
          <t>Persistance import_date dans note commande (GET+PUT)</t>
        </is>
      </c>
      <c r="F15" s="10" t="inlineStr">
        <is>
          <t>Metier</t>
        </is>
      </c>
      <c r="G15" s="10" t="n">
        <v>3171</v>
      </c>
      <c r="H15" s="10" t="n">
        <v>15</v>
      </c>
      <c r="I15" s="10">
        <f>detail_avancement!B15</f>
        <v/>
      </c>
      <c r="J15" s="10">
        <f>H15-I15</f>
        <v/>
      </c>
      <c r="K15" s="10">
        <f>(I15/(I15+J15))</f>
        <v/>
      </c>
    </row>
    <row r="16">
      <c r="A16" s="10" t="n">
        <v>15</v>
      </c>
      <c r="B16" s="10" t="inlineStr">
        <is>
          <t>Frontoffice</t>
        </is>
      </c>
      <c r="C16" s="10" t="inlineStr">
        <is>
          <t>Auth</t>
        </is>
      </c>
      <c r="D16" s="10" t="inlineStr">
        <is>
          <t>Accueil</t>
        </is>
      </c>
      <c r="E16" s="10" t="inlineStr">
        <is>
          <t>Page selecteur utilisateurs en page d accueil</t>
        </is>
      </c>
      <c r="F16" s="10" t="inlineStr">
        <is>
          <t>Integration</t>
        </is>
      </c>
      <c r="G16" s="10" t="n">
        <v>3171</v>
      </c>
      <c r="H16" s="10" t="n">
        <v>15</v>
      </c>
      <c r="I16" s="10">
        <f>detail_avancement!B16</f>
        <v/>
      </c>
      <c r="J16" s="10">
        <f>H16-I16</f>
        <v/>
      </c>
      <c r="K16" s="10">
        <f>(I16/(I16+J16))</f>
        <v/>
      </c>
    </row>
    <row r="17">
      <c r="A17" s="10" t="n">
        <v>16</v>
      </c>
      <c r="B17" s="10" t="inlineStr">
        <is>
          <t>Frontoffice</t>
        </is>
      </c>
      <c r="C17" s="10" t="inlineStr">
        <is>
          <t>Auth</t>
        </is>
      </c>
      <c r="D17" s="10" t="inlineStr">
        <is>
          <t>Accueil</t>
        </is>
      </c>
      <c r="E17" s="10" t="inlineStr">
        <is>
          <t>Option connexion anonyme depuis selecteur</t>
        </is>
      </c>
      <c r="F17" s="10" t="inlineStr">
        <is>
          <t>Affichage</t>
        </is>
      </c>
      <c r="G17" s="10" t="n">
        <v>3171</v>
      </c>
      <c r="H17" s="10" t="n">
        <v>8</v>
      </c>
      <c r="I17" s="10">
        <f>detail_avancement!B17</f>
        <v/>
      </c>
      <c r="J17" s="10">
        <f>H17-I17</f>
        <v/>
      </c>
      <c r="K17" s="10">
        <f>(I17/(I17+J17))</f>
        <v/>
      </c>
    </row>
    <row r="18">
      <c r="A18" s="10" t="n">
        <v>17</v>
      </c>
      <c r="B18" s="10" t="inlineStr">
        <is>
          <t>Frontoffice</t>
        </is>
      </c>
      <c r="C18" s="10" t="inlineStr">
        <is>
          <t>Config</t>
        </is>
      </c>
      <c r="D18" s="10" t="inlineStr">
        <is>
          <t>Webservice</t>
        </is>
      </c>
      <c r="E18" s="10" t="inlineStr">
        <is>
          <t>Formulaire URL shop + WS key sur page selecteur</t>
        </is>
      </c>
      <c r="F18" s="10" t="inlineStr">
        <is>
          <t>Integration</t>
        </is>
      </c>
      <c r="G18" s="10" t="n">
        <v>3171</v>
      </c>
      <c r="H18" s="10" t="n">
        <v>10</v>
      </c>
      <c r="I18" s="10">
        <f>detail_avancement!B18</f>
        <v/>
      </c>
      <c r="J18" s="10">
        <f>H18-I18</f>
        <v/>
      </c>
      <c r="K18" s="10">
        <f>(I18/(I18+J18))</f>
        <v/>
      </c>
    </row>
    <row r="19">
      <c r="A19" s="10" t="n">
        <v>18</v>
      </c>
      <c r="B19" s="10" t="inlineStr">
        <is>
          <t>Backoffice</t>
        </is>
      </c>
      <c r="C19" s="10" t="inlineStr">
        <is>
          <t>Auth</t>
        </is>
      </c>
      <c r="D19" s="10" t="inlineStr">
        <is>
          <t>Login</t>
        </is>
      </c>
      <c r="E19" s="10" t="inlineStr">
        <is>
          <t>Cle API centralisee via DEFAULT_WS_KEY</t>
        </is>
      </c>
      <c r="F19" s="10" t="inlineStr">
        <is>
          <t>Integration</t>
        </is>
      </c>
      <c r="G19" s="10" t="n">
        <v>3171</v>
      </c>
      <c r="H19" s="10" t="n">
        <v>8</v>
      </c>
      <c r="I19" s="10">
        <f>detail_avancement!B19</f>
        <v/>
      </c>
      <c r="J19" s="10">
        <f>H19-I19</f>
        <v/>
      </c>
      <c r="K19" s="10">
        <f>(I19/(I19+J19))</f>
        <v/>
      </c>
    </row>
    <row r="20">
      <c r="A20" s="10" t="n">
        <v>19</v>
      </c>
      <c r="B20" s="10" t="inlineStr">
        <is>
          <t>Backoffice</t>
        </is>
      </c>
      <c r="C20" s="10" t="inlineStr">
        <is>
          <t>Auth</t>
        </is>
      </c>
      <c r="D20" s="10" t="inlineStr">
        <is>
          <t>Login</t>
        </is>
      </c>
      <c r="E20" s="10" t="inlineStr">
        <is>
          <t>Correction redirection BO (condition backofficeLoggedIn)</t>
        </is>
      </c>
      <c r="F20" s="10" t="inlineStr">
        <is>
          <t>Correctif</t>
        </is>
      </c>
      <c r="G20" s="10" t="n">
        <v>3171</v>
      </c>
      <c r="H20" s="10" t="n">
        <v>8</v>
      </c>
      <c r="I20" s="10">
        <f>detail_avancement!B20</f>
        <v/>
      </c>
      <c r="J20" s="10">
        <f>H20-I20</f>
        <v/>
      </c>
      <c r="K20" s="10">
        <f>(I20/(I20+J20))</f>
        <v/>
      </c>
    </row>
    <row r="21">
      <c r="A21" t="n">
        <v>20</v>
      </c>
      <c r="B21" t="inlineStr">
        <is>
          <t>Frontoffice</t>
        </is>
      </c>
      <c r="C21" t="inlineStr">
        <is>
          <t>Commandes</t>
        </is>
      </c>
      <c r="D21" t="inlineStr">
        <is>
          <t>Mes commandes</t>
        </is>
      </c>
      <c r="E21" t="inlineStr">
        <is>
          <t>Commandes liees a l utilisateur FO connecte</t>
        </is>
      </c>
      <c r="F21" t="inlineStr">
        <is>
          <t>Metier</t>
        </is>
      </c>
      <c r="G21" t="n">
        <v>3171</v>
      </c>
      <c r="H21" t="n">
        <v>12</v>
      </c>
      <c r="I21">
        <f>detail_avancement!B21</f>
        <v/>
      </c>
      <c r="J21">
        <f>H21-I21</f>
        <v/>
      </c>
      <c r="K21">
        <f>(I21/(I21+J21))</f>
        <v/>
      </c>
    </row>
    <row r="22">
      <c r="A22" t="n">
        <v>21</v>
      </c>
      <c r="B22" t="inlineStr">
        <is>
          <t>Frontoffice</t>
        </is>
      </c>
      <c r="C22" t="inlineStr">
        <is>
          <t>Checkout</t>
        </is>
      </c>
      <c r="D22" t="inlineStr">
        <is>
          <t>Validation</t>
        </is>
      </c>
      <c r="E22" t="inlineStr">
        <is>
          <t>Forcer customer_id checkout sur utilisateur connecte</t>
        </is>
      </c>
      <c r="F22" t="inlineStr">
        <is>
          <t>Metier</t>
        </is>
      </c>
      <c r="G22" t="n">
        <v>3171</v>
      </c>
      <c r="H22" t="n">
        <v>12</v>
      </c>
      <c r="I22">
        <f>detail_avancement!B22</f>
        <v/>
      </c>
      <c r="J22">
        <f>H22-I22</f>
        <v/>
      </c>
      <c r="K22">
        <f>(I22/(I22+J22))</f>
        <v/>
      </c>
    </row>
    <row r="23">
      <c r="A23" t="n">
        <v>22</v>
      </c>
      <c r="B23" t="inlineStr">
        <is>
          <t>Frontoffice</t>
        </is>
      </c>
      <c r="C23" t="inlineStr">
        <is>
          <t>Navigation</t>
        </is>
      </c>
      <c r="D23" t="inlineStr">
        <is>
          <t>Routes</t>
        </is>
      </c>
      <c r="E23" t="inlineStr">
        <is>
          <t>Liens Accueil rediriges vers /products</t>
        </is>
      </c>
      <c r="F23" t="inlineStr">
        <is>
          <t>Integration</t>
        </is>
      </c>
      <c r="G23" t="n">
        <v>3171</v>
      </c>
      <c r="H23" t="n">
        <v>6</v>
      </c>
      <c r="I23">
        <f>detail_avancement!B23</f>
        <v/>
      </c>
      <c r="J23">
        <f>H23-I23</f>
        <v/>
      </c>
      <c r="K23">
        <f>(I23/(I23+J23))</f>
        <v/>
      </c>
    </row>
    <row r="24">
      <c r="A24" t="n">
        <v>23</v>
      </c>
      <c r="B24" t="inlineStr">
        <is>
          <t>Frontoffice</t>
        </is>
      </c>
      <c r="C24" t="inlineStr">
        <is>
          <t>Catalogue</t>
        </is>
      </c>
      <c r="D24" t="inlineStr">
        <is>
          <t>Home</t>
        </is>
      </c>
      <c r="E24" t="inlineStr">
        <is>
          <t>Badges HOT/NEW + recherche multicritere</t>
        </is>
      </c>
      <c r="F24" t="inlineStr">
        <is>
          <t>Affichage</t>
        </is>
      </c>
      <c r="G24" t="n">
        <v>3171</v>
      </c>
      <c r="H24" t="n">
        <v>16</v>
      </c>
      <c r="I24">
        <f>detail_avancement!B24</f>
        <v/>
      </c>
      <c r="J24">
        <f>H24-I24</f>
        <v/>
      </c>
      <c r="K24">
        <f>(I24/(I24+J24))</f>
        <v/>
      </c>
    </row>
    <row r="25">
      <c r="A25" t="n">
        <v>24</v>
      </c>
      <c r="B25" t="inlineStr">
        <is>
          <t>Frontoffice</t>
        </is>
      </c>
      <c r="C25" t="inlineStr">
        <is>
          <t>Produit</t>
        </is>
      </c>
      <c r="D25" t="inlineStr">
        <is>
          <t>Fiche</t>
        </is>
      </c>
      <c r="E25" t="inlineStr">
        <is>
          <t>Correction parsing images et descriptions multilangues</t>
        </is>
      </c>
      <c r="F25" t="inlineStr">
        <is>
          <t>Correctif</t>
        </is>
      </c>
      <c r="G25" t="n">
        <v>3171</v>
      </c>
      <c r="H25" t="n">
        <v>12</v>
      </c>
      <c r="I25">
        <f>detail_avancement!B25</f>
        <v/>
      </c>
      <c r="J25">
        <f>H25-I25</f>
        <v/>
      </c>
      <c r="K25">
        <f>(I25/(I25+J25))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2"/>
  <sheetViews>
    <sheetView showGridLines="0" workbookViewId="0">
      <selection activeCell="A1" sqref="A1"/>
    </sheetView>
  </sheetViews>
  <sheetFormatPr baseColWidth="10" defaultColWidth="12.6640625" defaultRowHeight="15.75" customHeight="1"/>
  <sheetData>
    <row r="1">
      <c r="A1" s="30" t="n"/>
      <c r="B1" s="25" t="inlineStr"/>
      <c r="C1" s="26" t="n"/>
      <c r="D1" s="27" t="n"/>
    </row>
    <row r="2">
      <c r="A2" s="25" t="inlineStr">
        <is>
          <t>Qui</t>
        </is>
      </c>
      <c r="B2" s="30" t="inlineStr">
        <is>
          <t>SUM of Estimation</t>
        </is>
      </c>
      <c r="C2" s="31" t="inlineStr">
        <is>
          <t>SUM of Temps passé</t>
        </is>
      </c>
      <c r="D2" s="32" t="inlineStr">
        <is>
          <t>SUM of Reste à faire</t>
        </is>
      </c>
    </row>
    <row r="3">
      <c r="A3" s="30" t="n">
        <v>3171</v>
      </c>
      <c r="B3" s="30" t="n">
        <v>305</v>
      </c>
      <c r="C3" s="31" t="n">
        <v>285</v>
      </c>
      <c r="D3" s="32" t="n">
        <v>20</v>
      </c>
    </row>
    <row r="4">
      <c r="A4" s="34" t="inlineStr">
        <is>
          <t>(vide)</t>
        </is>
      </c>
      <c r="B4" s="34" t="n"/>
      <c r="C4" s="35" t="n"/>
      <c r="D4" s="36" t="n"/>
    </row>
    <row r="5">
      <c r="A5" s="38" t="inlineStr">
        <is>
          <t>Total général</t>
        </is>
      </c>
      <c r="B5" s="38" t="n">
        <v>305</v>
      </c>
      <c r="C5" s="39" t="n">
        <v>285</v>
      </c>
      <c r="D5" s="40" t="n">
        <v>20</v>
      </c>
    </row>
    <row r="12">
      <c r="A12" s="12" t="inlineStr">
        <is>
          <t>Avancement</t>
        </is>
      </c>
      <c r="B12" s="13">
        <f>avancement!D2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3"/>
  <sheetViews>
    <sheetView workbookViewId="0">
      <selection activeCell="A1" sqref="A1"/>
    </sheetView>
  </sheetViews>
  <sheetFormatPr baseColWidth="10" defaultColWidth="12.6640625" defaultRowHeight="15.75" customHeight="1"/>
  <cols>
    <col width="15.77734375" customWidth="1" min="1" max="1"/>
    <col width="17.88671875" customWidth="1" min="2" max="2"/>
    <col width="17" customWidth="1" min="3" max="3"/>
    <col width="18.21875" customWidth="1" min="4" max="4"/>
    <col width="13.77734375" customWidth="1" min="5" max="5"/>
  </cols>
  <sheetData>
    <row r="1" ht="15.75" customHeight="1">
      <c r="A1" s="14" t="inlineStr">
        <is>
          <t>estimation total</t>
        </is>
      </c>
      <c r="B1" s="14" t="inlineStr">
        <is>
          <t>temps passé total</t>
        </is>
      </c>
      <c r="C1" s="14" t="inlineStr">
        <is>
          <t>reste à faire total</t>
        </is>
      </c>
      <c r="D1" s="14" t="inlineStr">
        <is>
          <t>avancement</t>
        </is>
      </c>
      <c r="E1" s="14" t="inlineStr">
        <is>
          <t>dépassement</t>
        </is>
      </c>
    </row>
    <row r="2" ht="15.75" customHeight="1">
      <c r="A2" s="15">
        <f>SUM('liste des taches'!H:H)</f>
        <v/>
      </c>
      <c r="B2" s="15">
        <f>SUM('liste des taches'!I:I)</f>
        <v/>
      </c>
      <c r="C2" s="15">
        <f>SUM('liste des taches'!J:J)</f>
        <v/>
      </c>
      <c r="D2" s="16">
        <f>(B2/(B2+C2))</f>
        <v/>
      </c>
      <c r="E2" s="17">
        <f>((B2+C2)-A2)/A2</f>
        <v/>
      </c>
    </row>
    <row r="3" ht="15.75" customHeight="1">
      <c r="A3" s="18" t="n"/>
      <c r="B3" s="18" t="n"/>
      <c r="C3" s="15">
        <f>C2/60</f>
        <v/>
      </c>
      <c r="D3" s="18" t="inlineStr">
        <is>
          <t>heure</t>
        </is>
      </c>
      <c r="E3" s="1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25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19" t="inlineStr">
        <is>
          <t>Ligne</t>
        </is>
      </c>
      <c r="B1" s="20" t="inlineStr">
        <is>
          <t>Total</t>
        </is>
      </c>
      <c r="C1" s="21" t="n">
        <v>46048</v>
      </c>
      <c r="D1" s="21" t="n">
        <v>46049</v>
      </c>
      <c r="E1" s="21" t="n">
        <v>46050</v>
      </c>
    </row>
    <row r="2" ht="15.75" customHeight="1">
      <c r="A2" s="22" t="n">
        <v>1</v>
      </c>
      <c r="B2" s="15">
        <f>SUM(D2:P2)</f>
        <v/>
      </c>
      <c r="C2" s="18" t="n"/>
      <c r="D2" s="22" t="n">
        <v>30</v>
      </c>
      <c r="E2" s="18" t="n"/>
    </row>
    <row r="3" ht="15.75" customHeight="1">
      <c r="A3" s="22" t="n">
        <v>2</v>
      </c>
      <c r="B3" s="15">
        <f>SUM(D3:P3)</f>
        <v/>
      </c>
      <c r="C3" s="18" t="n"/>
      <c r="D3" s="18" t="n">
        <v>20</v>
      </c>
      <c r="E3" s="18" t="n"/>
    </row>
    <row r="4" ht="15.75" customHeight="1">
      <c r="A4" s="22" t="n">
        <v>3</v>
      </c>
      <c r="B4" s="15">
        <f>SUM(D4:P4)</f>
        <v/>
      </c>
      <c r="C4" s="22" t="n"/>
      <c r="D4" s="22" t="n">
        <v>20</v>
      </c>
      <c r="E4" s="18" t="n"/>
    </row>
    <row r="5" ht="15.75" customHeight="1">
      <c r="A5" s="22" t="n">
        <v>4</v>
      </c>
      <c r="B5" s="15">
        <f>SUM(D5:P5)</f>
        <v/>
      </c>
      <c r="C5" s="18" t="n"/>
      <c r="D5" s="18" t="n">
        <v>40</v>
      </c>
      <c r="E5" s="18" t="n"/>
    </row>
    <row r="6" ht="15.75" customHeight="1">
      <c r="A6" s="22" t="n">
        <v>5</v>
      </c>
      <c r="B6" s="15">
        <f>SUM(D6:P6)</f>
        <v/>
      </c>
      <c r="C6" s="18" t="n"/>
      <c r="D6" s="23" t="n">
        <v>20</v>
      </c>
      <c r="E6" s="18" t="n"/>
    </row>
    <row r="7" ht="15.75" customHeight="1">
      <c r="A7" s="22" t="n">
        <v>6</v>
      </c>
      <c r="B7" s="15">
        <f>SUM(D7:P7)</f>
        <v/>
      </c>
      <c r="C7" s="18" t="n"/>
      <c r="D7" s="18" t="n">
        <v>30</v>
      </c>
      <c r="E7" s="18" t="n"/>
    </row>
    <row r="8" ht="15.75" customHeight="1">
      <c r="A8" s="22" t="n">
        <v>7</v>
      </c>
      <c r="B8" s="15">
        <f>SUM(D8:P8)</f>
        <v/>
      </c>
      <c r="C8" s="18" t="n"/>
      <c r="D8" s="23" t="n">
        <v>30</v>
      </c>
      <c r="E8" s="18" t="n"/>
    </row>
    <row r="9" ht="15.75" customHeight="1">
      <c r="A9" s="11" t="n">
        <v>8</v>
      </c>
      <c r="B9" s="15">
        <f>SUM(D9:P9)</f>
        <v/>
      </c>
      <c r="D9" s="11" t="n">
        <v>30</v>
      </c>
    </row>
    <row r="10" ht="15.75" customHeight="1">
      <c r="A10" s="11" t="n">
        <v>9</v>
      </c>
      <c r="B10" s="15">
        <f>SUM(D10:P10)</f>
        <v/>
      </c>
      <c r="D10" t="n">
        <v>30</v>
      </c>
    </row>
    <row r="11">
      <c r="A11" t="n">
        <v>10</v>
      </c>
      <c r="B11">
        <f>SUM(D11:P11)</f>
        <v/>
      </c>
      <c r="D11" t="n">
        <v>20</v>
      </c>
    </row>
    <row r="12">
      <c r="A12" t="n">
        <v>11</v>
      </c>
      <c r="B12">
        <f>SUM(D12:P12)</f>
        <v/>
      </c>
      <c r="D12" t="n">
        <v>15</v>
      </c>
    </row>
    <row r="13">
      <c r="A13" t="n">
        <v>12</v>
      </c>
      <c r="B13">
        <f>SUM(D13:P13)</f>
        <v/>
      </c>
      <c r="D13" t="n">
        <v>0</v>
      </c>
    </row>
    <row r="14">
      <c r="A14" t="n">
        <v>13</v>
      </c>
      <c r="B14">
        <f>SUM(D14:P14)</f>
        <v/>
      </c>
      <c r="D14" t="n">
        <v>20</v>
      </c>
    </row>
    <row r="15">
      <c r="A15" t="n">
        <v>14</v>
      </c>
      <c r="B15">
        <f>SUM(D15:P15)</f>
        <v/>
      </c>
    </row>
    <row r="16">
      <c r="A16" t="n">
        <v>15</v>
      </c>
      <c r="B16">
        <f>SUM(D16:P16)</f>
        <v/>
      </c>
    </row>
    <row r="17">
      <c r="A17" t="n">
        <v>16</v>
      </c>
      <c r="B17">
        <f>SUM(D17:P17)</f>
        <v/>
      </c>
    </row>
    <row r="18">
      <c r="A18" t="n">
        <v>17</v>
      </c>
      <c r="B18">
        <f>SUM(D18:P18)</f>
        <v/>
      </c>
    </row>
    <row r="19">
      <c r="A19" t="n">
        <v>18</v>
      </c>
      <c r="B19">
        <f>SUM(D19:P19)</f>
        <v/>
      </c>
    </row>
    <row r="20">
      <c r="A20" t="n">
        <v>19</v>
      </c>
      <c r="B20">
        <f>SUM(D20:P20)</f>
        <v/>
      </c>
    </row>
    <row r="21">
      <c r="A21" t="n">
        <v>20</v>
      </c>
      <c r="B21">
        <f>SUM(D21:P21)</f>
        <v/>
      </c>
    </row>
    <row r="22">
      <c r="A22" t="n">
        <v>21</v>
      </c>
      <c r="B22">
        <f>SUM(D22:P22)</f>
        <v/>
      </c>
    </row>
    <row r="23">
      <c r="A23" t="n">
        <v>22</v>
      </c>
      <c r="B23">
        <f>SUM(D23:P23)</f>
        <v/>
      </c>
    </row>
    <row r="24">
      <c r="A24" t="n">
        <v>23</v>
      </c>
      <c r="B24">
        <f>SUM(D24:P24)</f>
        <v/>
      </c>
    </row>
    <row r="25">
      <c r="A25" t="n">
        <v>24</v>
      </c>
      <c r="B25">
        <f>SUM(D25:P25)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2026-05-12T05:47:27Z</dcterms:created>
  <dcterms:modified xsi:type="dcterms:W3CDTF">2026-05-17T13:52:48Z</dcterms:modified>
  <cp:lastModifiedBy>Faly RABEKOTO</cp:lastModifiedBy>
</cp:coreProperties>
</file>